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5844f6e78ccd0/Desktop/Careers/Projects/Assest Cash Flow Controls/excel/"/>
    </mc:Choice>
  </mc:AlternateContent>
  <xr:revisionPtr revIDLastSave="241" documentId="8_{64F419EB-438C-4327-8381-344818CB11D7}" xr6:coauthVersionLast="47" xr6:coauthVersionMax="47" xr10:uidLastSave="{10595E18-0C36-4AF8-9A8E-43FE51A9B90B}"/>
  <bookViews>
    <workbookView xWindow="-120" yWindow="-120" windowWidth="29040" windowHeight="15720" xr2:uid="{22460760-7DBE-44C4-8898-21EE89518531}"/>
  </bookViews>
  <sheets>
    <sheet name="Lifecycle_Overview" sheetId="1" r:id="rId1"/>
    <sheet name="Trade_Log" sheetId="2" r:id="rId2"/>
    <sheet name="Cash_Movements" sheetId="3" r:id="rId3"/>
    <sheet name="Cash_Reconciliation" sheetId="4" r:id="rId4"/>
    <sheet name="Control_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E2" i="5" a="1"/>
  <c r="E2" i="5" s="1"/>
  <c r="D2" i="5"/>
  <c r="C2" i="5"/>
  <c r="B2" i="5"/>
  <c r="A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A2" i="4" a="1"/>
  <c r="A2" i="4" s="1"/>
  <c r="C2" i="4" s="1"/>
  <c r="E2" i="3"/>
  <c r="E3" i="3"/>
  <c r="E4" i="3"/>
  <c r="E5" i="3"/>
  <c r="E6" i="3"/>
  <c r="E7" i="3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3" i="2"/>
  <c r="I3" i="2" s="1"/>
  <c r="H4" i="2"/>
  <c r="I4" i="2" s="1"/>
  <c r="H5" i="2"/>
  <c r="H6" i="2"/>
  <c r="H7" i="2"/>
  <c r="H2" i="2"/>
  <c r="I2" i="2" s="1"/>
  <c r="G5" i="4" l="1"/>
  <c r="G4" i="4"/>
  <c r="G3" i="4"/>
  <c r="H9" i="4"/>
  <c r="G2" i="4"/>
  <c r="G6" i="4"/>
  <c r="G7" i="4"/>
  <c r="H16" i="4"/>
  <c r="B2" i="4"/>
  <c r="B6" i="4"/>
  <c r="H17" i="4"/>
  <c r="B3" i="4"/>
  <c r="C7" i="4"/>
  <c r="B4" i="4"/>
  <c r="H14" i="4"/>
  <c r="C6" i="4"/>
  <c r="B5" i="4"/>
  <c r="C5" i="4"/>
  <c r="C4" i="4"/>
  <c r="B7" i="4"/>
  <c r="C3" i="4"/>
  <c r="F3" i="4"/>
  <c r="D3" i="4"/>
  <c r="D7" i="4"/>
  <c r="F7" i="4"/>
  <c r="F6" i="4"/>
  <c r="D6" i="4"/>
  <c r="F5" i="4"/>
  <c r="D5" i="4"/>
  <c r="F4" i="4"/>
  <c r="D4" i="4"/>
  <c r="D2" i="4"/>
  <c r="F2" i="4"/>
  <c r="H8" i="4"/>
  <c r="H15" i="4"/>
  <c r="H20" i="4"/>
  <c r="H12" i="4"/>
  <c r="H19" i="4"/>
  <c r="H11" i="4"/>
  <c r="H21" i="4"/>
  <c r="H13" i="4"/>
  <c r="H18" i="4"/>
  <c r="H10" i="4"/>
  <c r="H6" i="4" l="1"/>
  <c r="H4" i="4"/>
  <c r="H3" i="4"/>
  <c r="H7" i="4"/>
  <c r="H5" i="4"/>
  <c r="H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<sst xmlns="http://schemas.openxmlformats.org/spreadsheetml/2006/main" count="113" uniqueCount="73">
  <si>
    <t>Lifecycle Step</t>
  </si>
  <si>
    <t>Description</t>
  </si>
  <si>
    <t>Primary Owner</t>
  </si>
  <si>
    <t>Key Control Objective</t>
  </si>
  <si>
    <t>Trade Execution</t>
  </si>
  <si>
    <t>Trade is executed and captured in the trade booking system</t>
  </si>
  <si>
    <t>Front Office / Trading</t>
  </si>
  <si>
    <t>Ensure trade is accurately booked with correct economics</t>
  </si>
  <si>
    <t>Trade Validation</t>
  </si>
  <si>
    <t>Trade details are reviewed and validated by operations</t>
  </si>
  <si>
    <t>Middle Office / Operations</t>
  </si>
  <si>
    <t>Detect booking errors prior to settlement</t>
  </si>
  <si>
    <t>Settlement Instruction</t>
  </si>
  <si>
    <t>Settlement details are sent to custodian or clearing agent</t>
  </si>
  <si>
    <t>Operations</t>
  </si>
  <si>
    <t>Ensure correct settlement instructions and timing</t>
  </si>
  <si>
    <t>Cash Movement</t>
  </si>
  <si>
    <t>Cash is exchanged between counterparties upon settlement</t>
  </si>
  <si>
    <t>Custodian / Treasury</t>
  </si>
  <si>
    <t>Ensure cash moves in the correct amount and currency</t>
  </si>
  <si>
    <t>Reconciliation &amp; Controls</t>
  </si>
  <si>
    <t>Expected trades and cash are reconciled against actual balances</t>
  </si>
  <si>
    <t>Operations / Control Team</t>
  </si>
  <si>
    <t>Identify breaks, fails, and unresolved differences</t>
  </si>
  <si>
    <t>Trade_ID</t>
  </si>
  <si>
    <t>Trade_Date</t>
  </si>
  <si>
    <t>Settle_Date</t>
  </si>
  <si>
    <t>Asset_Type</t>
  </si>
  <si>
    <t>Buy_Sell</t>
  </si>
  <si>
    <t>Quantity</t>
  </si>
  <si>
    <t>Price</t>
  </si>
  <si>
    <t>Trade_Amount</t>
  </si>
  <si>
    <t>Currency</t>
  </si>
  <si>
    <t>Expected_Cash_Date</t>
  </si>
  <si>
    <t>Cash_ID</t>
  </si>
  <si>
    <t>Transaction_Date</t>
  </si>
  <si>
    <t>Value_Date</t>
  </si>
  <si>
    <t>Cash_Amount</t>
  </si>
  <si>
    <t>Source</t>
  </si>
  <si>
    <t>Related_Trade_ID</t>
  </si>
  <si>
    <t>Expected_Cash_Amount</t>
  </si>
  <si>
    <t>Actual_Cash_Amount</t>
  </si>
  <si>
    <t>Difference</t>
  </si>
  <si>
    <t>Status</t>
  </si>
  <si>
    <t>Break_Type</t>
  </si>
  <si>
    <t>Control_Date</t>
  </si>
  <si>
    <t>Total_Trades</t>
  </si>
  <si>
    <t>Total_Cash_Movements</t>
  </si>
  <si>
    <t>Unreconciled_Trades</t>
  </si>
  <si>
    <t>Total_Cash_Difference</t>
  </si>
  <si>
    <t>Overall_Status</t>
  </si>
  <si>
    <t>Signed_Cash_Amount</t>
  </si>
  <si>
    <t>T001</t>
  </si>
  <si>
    <t>Equity</t>
  </si>
  <si>
    <t>BUY</t>
  </si>
  <si>
    <t>T002</t>
  </si>
  <si>
    <t>SELL</t>
  </si>
  <si>
    <t>T003</t>
  </si>
  <si>
    <t>Bond</t>
  </si>
  <si>
    <t>T004</t>
  </si>
  <si>
    <t>T005</t>
  </si>
  <si>
    <t>T006</t>
  </si>
  <si>
    <t>USD</t>
  </si>
  <si>
    <t>C001</t>
  </si>
  <si>
    <t>C002</t>
  </si>
  <si>
    <t>C003</t>
  </si>
  <si>
    <t>C004</t>
  </si>
  <si>
    <t>C005</t>
  </si>
  <si>
    <t>Custodian</t>
  </si>
  <si>
    <t>Last_Value_Date</t>
  </si>
  <si>
    <t>Daily Batch Capacity</t>
  </si>
  <si>
    <t>Workbook supports up to 20 trades per processing cycle</t>
  </si>
  <si>
    <t>Ensure controls scale with daily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</si>
</sst>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69" fontId="1" fillId="0" borderId="0" xfId="0" applyNumberFormat="1" applyFont="1"/>
    <xf numFmtId="16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5805-5011-4B70-9B1F-4A25E86254C6}">
  <dimension ref="A1:D7"/>
  <sheetViews>
    <sheetView tabSelected="1" workbookViewId="0">
      <selection activeCell="C15" sqref="C15"/>
    </sheetView>
  </sheetViews>
  <sheetFormatPr defaultRowHeight="15" x14ac:dyDescent="0.25"/>
  <cols>
    <col min="1" max="1" width="23.7109375" bestFit="1" customWidth="1"/>
    <col min="2" max="2" width="45.7109375" style="1" customWidth="1"/>
    <col min="3" max="3" width="24.5703125" bestFit="1" customWidth="1"/>
    <col min="4" max="4" width="45.7109375" style="1" customWidth="1"/>
  </cols>
  <sheetData>
    <row r="1" spans="1:4" x14ac:dyDescent="0.25">
      <c r="A1" s="13" t="s">
        <v>0</v>
      </c>
      <c r="B1" s="14" t="s">
        <v>1</v>
      </c>
      <c r="C1" s="13" t="s">
        <v>2</v>
      </c>
      <c r="D1" s="14" t="s">
        <v>3</v>
      </c>
    </row>
    <row r="2" spans="1:4" ht="30" x14ac:dyDescent="0.25">
      <c r="A2" s="11" t="s">
        <v>4</v>
      </c>
      <c r="B2" s="12" t="s">
        <v>5</v>
      </c>
      <c r="C2" s="11" t="s">
        <v>6</v>
      </c>
      <c r="D2" s="12" t="s">
        <v>7</v>
      </c>
    </row>
    <row r="3" spans="1:4" ht="30" x14ac:dyDescent="0.25">
      <c r="A3" s="11" t="s">
        <v>8</v>
      </c>
      <c r="B3" s="12" t="s">
        <v>9</v>
      </c>
      <c r="C3" s="11" t="s">
        <v>10</v>
      </c>
      <c r="D3" s="12" t="s">
        <v>11</v>
      </c>
    </row>
    <row r="4" spans="1:4" ht="30" x14ac:dyDescent="0.25">
      <c r="A4" s="11" t="s">
        <v>12</v>
      </c>
      <c r="B4" s="12" t="s">
        <v>13</v>
      </c>
      <c r="C4" s="11" t="s">
        <v>14</v>
      </c>
      <c r="D4" s="12" t="s">
        <v>15</v>
      </c>
    </row>
    <row r="5" spans="1:4" ht="30" x14ac:dyDescent="0.25">
      <c r="A5" s="11" t="s">
        <v>16</v>
      </c>
      <c r="B5" s="12" t="s">
        <v>17</v>
      </c>
      <c r="C5" s="11" t="s">
        <v>18</v>
      </c>
      <c r="D5" s="12" t="s">
        <v>19</v>
      </c>
    </row>
    <row r="6" spans="1:4" ht="30" x14ac:dyDescent="0.25">
      <c r="A6" s="11" t="s">
        <v>20</v>
      </c>
      <c r="B6" s="12" t="s">
        <v>21</v>
      </c>
      <c r="C6" s="11" t="s">
        <v>22</v>
      </c>
      <c r="D6" s="12" t="s">
        <v>23</v>
      </c>
    </row>
    <row r="7" spans="1:4" ht="30" x14ac:dyDescent="0.25">
      <c r="A7" s="11" t="s">
        <v>70</v>
      </c>
      <c r="B7" s="12" t="s">
        <v>71</v>
      </c>
      <c r="C7" s="11" t="s">
        <v>14</v>
      </c>
      <c r="D7" s="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A08B-5884-4F43-8748-6DDBDEB23BA8}">
  <dimension ref="A1:K21"/>
  <sheetViews>
    <sheetView workbookViewId="0">
      <selection activeCell="C32" sqref="C32"/>
    </sheetView>
  </sheetViews>
  <sheetFormatPr defaultRowHeight="15" x14ac:dyDescent="0.25"/>
  <cols>
    <col min="1" max="1" width="9.140625" customWidth="1"/>
    <col min="2" max="2" width="11.140625" style="4" bestFit="1" customWidth="1"/>
    <col min="3" max="3" width="11.5703125" style="4" bestFit="1" customWidth="1"/>
    <col min="4" max="4" width="11.140625" bestFit="1" customWidth="1"/>
    <col min="5" max="5" width="9.140625" customWidth="1"/>
    <col min="6" max="6" width="9.140625" style="6" customWidth="1"/>
    <col min="7" max="7" width="9.140625" style="8" customWidth="1"/>
    <col min="8" max="8" width="14" style="8" bestFit="1" customWidth="1"/>
    <col min="9" max="9" width="23.140625" style="8" bestFit="1" customWidth="1"/>
    <col min="10" max="10" width="9.28515625" bestFit="1" customWidth="1"/>
    <col min="11" max="11" width="20.28515625" style="4" bestFit="1" customWidth="1"/>
  </cols>
  <sheetData>
    <row r="1" spans="1:11" x14ac:dyDescent="0.25">
      <c r="A1" s="2" t="s">
        <v>24</v>
      </c>
      <c r="B1" s="3" t="s">
        <v>25</v>
      </c>
      <c r="C1" s="3" t="s">
        <v>26</v>
      </c>
      <c r="D1" s="2" t="s">
        <v>27</v>
      </c>
      <c r="E1" s="2" t="s">
        <v>28</v>
      </c>
      <c r="F1" s="5" t="s">
        <v>29</v>
      </c>
      <c r="G1" s="7" t="s">
        <v>30</v>
      </c>
      <c r="H1" s="7" t="s">
        <v>31</v>
      </c>
      <c r="I1" s="7" t="s">
        <v>40</v>
      </c>
      <c r="J1" s="2" t="s">
        <v>32</v>
      </c>
      <c r="K1" s="3" t="s">
        <v>33</v>
      </c>
    </row>
    <row r="2" spans="1:11" x14ac:dyDescent="0.25">
      <c r="A2" s="9" t="s">
        <v>52</v>
      </c>
      <c r="B2" s="10">
        <v>46024</v>
      </c>
      <c r="C2" s="10">
        <v>46027</v>
      </c>
      <c r="D2" s="9" t="s">
        <v>53</v>
      </c>
      <c r="E2" s="9" t="s">
        <v>54</v>
      </c>
      <c r="F2" s="9">
        <v>100</v>
      </c>
      <c r="G2" s="9">
        <v>50</v>
      </c>
      <c r="H2" s="8">
        <f>F2*G2</f>
        <v>5000</v>
      </c>
      <c r="I2" s="8">
        <f>IF(E2="BUY",-H2,H2)</f>
        <v>-5000</v>
      </c>
      <c r="J2" s="9" t="s">
        <v>62</v>
      </c>
      <c r="K2" s="4">
        <f>C2</f>
        <v>46027</v>
      </c>
    </row>
    <row r="3" spans="1:11" x14ac:dyDescent="0.25">
      <c r="A3" s="9" t="s">
        <v>55</v>
      </c>
      <c r="B3" s="10">
        <v>46024</v>
      </c>
      <c r="C3" s="10">
        <v>46027</v>
      </c>
      <c r="D3" s="9" t="s">
        <v>53</v>
      </c>
      <c r="E3" s="9" t="s">
        <v>56</v>
      </c>
      <c r="F3" s="9">
        <v>200</v>
      </c>
      <c r="G3" s="9">
        <v>25</v>
      </c>
      <c r="H3" s="8">
        <f t="shared" ref="H3:H21" si="0">F3*G3</f>
        <v>5000</v>
      </c>
      <c r="I3" s="8">
        <f t="shared" ref="I3:I21" si="1">IF(E3="BUY",-H3,H3)</f>
        <v>5000</v>
      </c>
      <c r="J3" s="9" t="s">
        <v>62</v>
      </c>
      <c r="K3" s="4">
        <f t="shared" ref="K3:K21" si="2">C3</f>
        <v>46027</v>
      </c>
    </row>
    <row r="4" spans="1:11" x14ac:dyDescent="0.25">
      <c r="A4" s="9" t="s">
        <v>57</v>
      </c>
      <c r="B4" s="10">
        <v>46025</v>
      </c>
      <c r="C4" s="10">
        <v>46028</v>
      </c>
      <c r="D4" s="9" t="s">
        <v>58</v>
      </c>
      <c r="E4" s="9" t="s">
        <v>54</v>
      </c>
      <c r="F4" s="9">
        <v>10</v>
      </c>
      <c r="G4" s="9">
        <v>1000</v>
      </c>
      <c r="H4" s="8">
        <f t="shared" si="0"/>
        <v>10000</v>
      </c>
      <c r="I4" s="8">
        <f t="shared" si="1"/>
        <v>-10000</v>
      </c>
      <c r="J4" s="9" t="s">
        <v>62</v>
      </c>
      <c r="K4" s="4">
        <f t="shared" si="2"/>
        <v>46028</v>
      </c>
    </row>
    <row r="5" spans="1:11" x14ac:dyDescent="0.25">
      <c r="A5" s="9" t="s">
        <v>59</v>
      </c>
      <c r="B5" s="10">
        <v>46025</v>
      </c>
      <c r="C5" s="10">
        <v>46028</v>
      </c>
      <c r="D5" s="9" t="s">
        <v>53</v>
      </c>
      <c r="E5" s="9" t="s">
        <v>56</v>
      </c>
      <c r="F5" s="9">
        <v>150</v>
      </c>
      <c r="G5" s="9">
        <v>40</v>
      </c>
      <c r="H5" s="8">
        <f t="shared" si="0"/>
        <v>6000</v>
      </c>
      <c r="I5" s="8">
        <f t="shared" si="1"/>
        <v>6000</v>
      </c>
      <c r="J5" s="9" t="s">
        <v>62</v>
      </c>
      <c r="K5" s="4">
        <f t="shared" si="2"/>
        <v>46028</v>
      </c>
    </row>
    <row r="6" spans="1:11" x14ac:dyDescent="0.25">
      <c r="A6" s="9" t="s">
        <v>60</v>
      </c>
      <c r="B6" s="10">
        <v>46026</v>
      </c>
      <c r="C6" s="10">
        <v>46029</v>
      </c>
      <c r="D6" s="9" t="s">
        <v>53</v>
      </c>
      <c r="E6" s="9" t="s">
        <v>54</v>
      </c>
      <c r="F6" s="9">
        <v>50</v>
      </c>
      <c r="G6" s="9">
        <v>60</v>
      </c>
      <c r="H6" s="8">
        <f t="shared" si="0"/>
        <v>3000</v>
      </c>
      <c r="I6" s="8">
        <f t="shared" si="1"/>
        <v>-3000</v>
      </c>
      <c r="J6" s="9" t="s">
        <v>62</v>
      </c>
      <c r="K6" s="4">
        <f t="shared" si="2"/>
        <v>46029</v>
      </c>
    </row>
    <row r="7" spans="1:11" x14ac:dyDescent="0.25">
      <c r="A7" s="9" t="s">
        <v>61</v>
      </c>
      <c r="B7" s="10">
        <v>46026</v>
      </c>
      <c r="C7" s="10">
        <v>46029</v>
      </c>
      <c r="D7" s="9" t="s">
        <v>58</v>
      </c>
      <c r="E7" s="9" t="s">
        <v>56</v>
      </c>
      <c r="F7" s="9">
        <v>5</v>
      </c>
      <c r="G7" s="9">
        <v>980</v>
      </c>
      <c r="H7" s="8">
        <f t="shared" si="0"/>
        <v>4900</v>
      </c>
      <c r="I7" s="8">
        <f t="shared" si="1"/>
        <v>4900</v>
      </c>
      <c r="J7" s="9" t="s">
        <v>62</v>
      </c>
      <c r="K7" s="4">
        <f t="shared" si="2"/>
        <v>46029</v>
      </c>
    </row>
    <row r="8" spans="1:11" x14ac:dyDescent="0.25">
      <c r="H8" s="8">
        <f t="shared" si="0"/>
        <v>0</v>
      </c>
      <c r="I8" s="8">
        <f t="shared" si="1"/>
        <v>0</v>
      </c>
      <c r="K8" s="4">
        <f t="shared" si="2"/>
        <v>0</v>
      </c>
    </row>
    <row r="9" spans="1:11" x14ac:dyDescent="0.25">
      <c r="H9" s="8">
        <f t="shared" si="0"/>
        <v>0</v>
      </c>
      <c r="I9" s="8">
        <f t="shared" si="1"/>
        <v>0</v>
      </c>
      <c r="K9" s="4">
        <f t="shared" si="2"/>
        <v>0</v>
      </c>
    </row>
    <row r="10" spans="1:11" x14ac:dyDescent="0.25">
      <c r="H10" s="8">
        <f t="shared" si="0"/>
        <v>0</v>
      </c>
      <c r="I10" s="8">
        <f t="shared" si="1"/>
        <v>0</v>
      </c>
      <c r="K10" s="4">
        <f t="shared" si="2"/>
        <v>0</v>
      </c>
    </row>
    <row r="11" spans="1:11" x14ac:dyDescent="0.25">
      <c r="H11" s="8">
        <f t="shared" si="0"/>
        <v>0</v>
      </c>
      <c r="I11" s="8">
        <f t="shared" si="1"/>
        <v>0</v>
      </c>
      <c r="K11" s="4">
        <f t="shared" si="2"/>
        <v>0</v>
      </c>
    </row>
    <row r="12" spans="1:11" x14ac:dyDescent="0.25">
      <c r="H12" s="8">
        <f t="shared" si="0"/>
        <v>0</v>
      </c>
      <c r="I12" s="8">
        <f t="shared" si="1"/>
        <v>0</v>
      </c>
      <c r="K12" s="4">
        <f t="shared" si="2"/>
        <v>0</v>
      </c>
    </row>
    <row r="13" spans="1:11" x14ac:dyDescent="0.25">
      <c r="H13" s="8">
        <f t="shared" si="0"/>
        <v>0</v>
      </c>
      <c r="I13" s="8">
        <f t="shared" si="1"/>
        <v>0</v>
      </c>
      <c r="K13" s="4">
        <f t="shared" si="2"/>
        <v>0</v>
      </c>
    </row>
    <row r="14" spans="1:11" x14ac:dyDescent="0.25">
      <c r="H14" s="8">
        <f t="shared" si="0"/>
        <v>0</v>
      </c>
      <c r="I14" s="8">
        <f t="shared" si="1"/>
        <v>0</v>
      </c>
      <c r="K14" s="4">
        <f t="shared" si="2"/>
        <v>0</v>
      </c>
    </row>
    <row r="15" spans="1:11" x14ac:dyDescent="0.25">
      <c r="H15" s="8">
        <f t="shared" si="0"/>
        <v>0</v>
      </c>
      <c r="I15" s="8">
        <f t="shared" si="1"/>
        <v>0</v>
      </c>
      <c r="K15" s="4">
        <f t="shared" si="2"/>
        <v>0</v>
      </c>
    </row>
    <row r="16" spans="1:11" x14ac:dyDescent="0.25">
      <c r="H16" s="8">
        <f t="shared" si="0"/>
        <v>0</v>
      </c>
      <c r="I16" s="8">
        <f t="shared" si="1"/>
        <v>0</v>
      </c>
      <c r="K16" s="4">
        <f t="shared" si="2"/>
        <v>0</v>
      </c>
    </row>
    <row r="17" spans="8:11" x14ac:dyDescent="0.25">
      <c r="H17" s="8">
        <f t="shared" si="0"/>
        <v>0</v>
      </c>
      <c r="I17" s="8">
        <f t="shared" si="1"/>
        <v>0</v>
      </c>
      <c r="K17" s="4">
        <f t="shared" si="2"/>
        <v>0</v>
      </c>
    </row>
    <row r="18" spans="8:11" x14ac:dyDescent="0.25">
      <c r="H18" s="8">
        <f t="shared" si="0"/>
        <v>0</v>
      </c>
      <c r="I18" s="8">
        <f t="shared" si="1"/>
        <v>0</v>
      </c>
      <c r="K18" s="4">
        <f t="shared" si="2"/>
        <v>0</v>
      </c>
    </row>
    <row r="19" spans="8:11" x14ac:dyDescent="0.25">
      <c r="H19" s="8">
        <f t="shared" si="0"/>
        <v>0</v>
      </c>
      <c r="I19" s="8">
        <f t="shared" si="1"/>
        <v>0</v>
      </c>
      <c r="K19" s="4">
        <f t="shared" si="2"/>
        <v>0</v>
      </c>
    </row>
    <row r="20" spans="8:11" x14ac:dyDescent="0.25">
      <c r="H20" s="8">
        <f t="shared" si="0"/>
        <v>0</v>
      </c>
      <c r="I20" s="8">
        <f t="shared" si="1"/>
        <v>0</v>
      </c>
      <c r="K20" s="4">
        <f t="shared" si="2"/>
        <v>0</v>
      </c>
    </row>
    <row r="21" spans="8:11" x14ac:dyDescent="0.25">
      <c r="H21" s="8">
        <f t="shared" si="0"/>
        <v>0</v>
      </c>
      <c r="I21" s="8">
        <f t="shared" si="1"/>
        <v>0</v>
      </c>
      <c r="K21" s="4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A1C9-0926-4C7C-8C61-1301C0A41505}">
  <dimension ref="A1:I21"/>
  <sheetViews>
    <sheetView workbookViewId="0">
      <selection activeCell="F7" sqref="F7"/>
    </sheetView>
  </sheetViews>
  <sheetFormatPr defaultRowHeight="15" x14ac:dyDescent="0.25"/>
  <cols>
    <col min="2" max="2" width="16.7109375" style="4" bestFit="1" customWidth="1"/>
    <col min="3" max="3" width="11.140625" style="4" bestFit="1" customWidth="1"/>
    <col min="4" max="4" width="11.140625" bestFit="1" customWidth="1"/>
    <col min="5" max="5" width="20.7109375" bestFit="1" customWidth="1"/>
    <col min="6" max="6" width="13.5703125" bestFit="1" customWidth="1"/>
    <col min="7" max="7" width="9.28515625" style="6" bestFit="1" customWidth="1"/>
    <col min="8" max="8" width="9.140625" style="8"/>
    <col min="9" max="9" width="16.85546875" style="8" bestFit="1" customWidth="1"/>
  </cols>
  <sheetData>
    <row r="1" spans="1:9" x14ac:dyDescent="0.25">
      <c r="A1" s="2" t="s">
        <v>34</v>
      </c>
      <c r="B1" s="3" t="s">
        <v>35</v>
      </c>
      <c r="C1" s="3" t="s">
        <v>36</v>
      </c>
      <c r="D1" s="2" t="s">
        <v>27</v>
      </c>
      <c r="E1" s="2" t="s">
        <v>51</v>
      </c>
      <c r="F1" s="2" t="s">
        <v>37</v>
      </c>
      <c r="G1" s="5" t="s">
        <v>32</v>
      </c>
      <c r="H1" s="7" t="s">
        <v>38</v>
      </c>
      <c r="I1" s="7" t="s">
        <v>39</v>
      </c>
    </row>
    <row r="2" spans="1:9" ht="30" x14ac:dyDescent="0.25">
      <c r="A2" s="9" t="s">
        <v>63</v>
      </c>
      <c r="B2" s="10">
        <v>46027</v>
      </c>
      <c r="C2" s="10">
        <v>46027</v>
      </c>
      <c r="D2" s="9" t="s">
        <v>53</v>
      </c>
      <c r="E2">
        <f>F2</f>
        <v>-5000</v>
      </c>
      <c r="F2" s="9">
        <v>-5000</v>
      </c>
      <c r="G2" s="9" t="s">
        <v>62</v>
      </c>
      <c r="H2" s="9" t="s">
        <v>68</v>
      </c>
      <c r="I2" s="9" t="s">
        <v>52</v>
      </c>
    </row>
    <row r="3" spans="1:9" ht="30" x14ac:dyDescent="0.25">
      <c r="A3" s="9" t="s">
        <v>64</v>
      </c>
      <c r="B3" s="10">
        <v>46027</v>
      </c>
      <c r="C3" s="10">
        <v>46027</v>
      </c>
      <c r="D3" s="9" t="s">
        <v>53</v>
      </c>
      <c r="E3">
        <f t="shared" ref="E3:E21" si="0">F3</f>
        <v>5000</v>
      </c>
      <c r="F3" s="9">
        <v>5000</v>
      </c>
      <c r="G3" s="9" t="s">
        <v>62</v>
      </c>
      <c r="H3" s="9" t="s">
        <v>68</v>
      </c>
      <c r="I3" s="9" t="s">
        <v>55</v>
      </c>
    </row>
    <row r="4" spans="1:9" ht="30" x14ac:dyDescent="0.25">
      <c r="A4" s="9" t="s">
        <v>65</v>
      </c>
      <c r="B4" s="10">
        <v>46029</v>
      </c>
      <c r="C4" s="10">
        <v>46029</v>
      </c>
      <c r="D4" s="9" t="s">
        <v>58</v>
      </c>
      <c r="E4">
        <f t="shared" si="0"/>
        <v>-10000</v>
      </c>
      <c r="F4" s="9">
        <v>-10000</v>
      </c>
      <c r="G4" s="9" t="s">
        <v>62</v>
      </c>
      <c r="H4" s="9" t="s">
        <v>68</v>
      </c>
      <c r="I4" s="9" t="s">
        <v>57</v>
      </c>
    </row>
    <row r="5" spans="1:9" ht="30" x14ac:dyDescent="0.25">
      <c r="A5" s="9" t="s">
        <v>66</v>
      </c>
      <c r="B5" s="10">
        <v>46028</v>
      </c>
      <c r="C5" s="10">
        <v>46028</v>
      </c>
      <c r="D5" s="9" t="s">
        <v>53</v>
      </c>
      <c r="E5">
        <f t="shared" si="0"/>
        <v>5900</v>
      </c>
      <c r="F5" s="9">
        <v>5900</v>
      </c>
      <c r="G5" s="9" t="s">
        <v>62</v>
      </c>
      <c r="H5" s="9" t="s">
        <v>68</v>
      </c>
      <c r="I5" s="9" t="s">
        <v>59</v>
      </c>
    </row>
    <row r="6" spans="1:9" ht="30" x14ac:dyDescent="0.25">
      <c r="A6" s="9" t="s">
        <v>67</v>
      </c>
      <c r="B6" s="10">
        <v>46029</v>
      </c>
      <c r="C6" s="10">
        <v>46029</v>
      </c>
      <c r="D6" s="9" t="s">
        <v>58</v>
      </c>
      <c r="E6">
        <f t="shared" si="0"/>
        <v>4800</v>
      </c>
      <c r="F6" s="9">
        <v>4800</v>
      </c>
      <c r="G6" s="9" t="s">
        <v>62</v>
      </c>
      <c r="H6" s="9" t="s">
        <v>68</v>
      </c>
      <c r="I6" s="9" t="s">
        <v>61</v>
      </c>
    </row>
    <row r="7" spans="1:9" x14ac:dyDescent="0.25">
      <c r="E7">
        <f t="shared" si="0"/>
        <v>0</v>
      </c>
    </row>
    <row r="8" spans="1:9" x14ac:dyDescent="0.25">
      <c r="E8">
        <f t="shared" si="0"/>
        <v>0</v>
      </c>
    </row>
    <row r="9" spans="1:9" x14ac:dyDescent="0.25">
      <c r="E9">
        <f t="shared" si="0"/>
        <v>0</v>
      </c>
    </row>
    <row r="10" spans="1:9" x14ac:dyDescent="0.25">
      <c r="E10">
        <f t="shared" si="0"/>
        <v>0</v>
      </c>
    </row>
    <row r="11" spans="1:9" x14ac:dyDescent="0.25">
      <c r="E11">
        <f t="shared" si="0"/>
        <v>0</v>
      </c>
    </row>
    <row r="12" spans="1:9" x14ac:dyDescent="0.25">
      <c r="E12">
        <f t="shared" si="0"/>
        <v>0</v>
      </c>
    </row>
    <row r="13" spans="1:9" x14ac:dyDescent="0.25">
      <c r="E13">
        <f t="shared" si="0"/>
        <v>0</v>
      </c>
    </row>
    <row r="14" spans="1:9" x14ac:dyDescent="0.25">
      <c r="E14">
        <f t="shared" si="0"/>
        <v>0</v>
      </c>
    </row>
    <row r="15" spans="1:9" x14ac:dyDescent="0.25">
      <c r="E15">
        <f t="shared" si="0"/>
        <v>0</v>
      </c>
    </row>
    <row r="16" spans="1:9" x14ac:dyDescent="0.25">
      <c r="E16">
        <f t="shared" si="0"/>
        <v>0</v>
      </c>
    </row>
    <row r="17" spans="5:5" x14ac:dyDescent="0.25">
      <c r="E17">
        <f t="shared" si="0"/>
        <v>0</v>
      </c>
    </row>
    <row r="18" spans="5:5" x14ac:dyDescent="0.25">
      <c r="E18">
        <f t="shared" si="0"/>
        <v>0</v>
      </c>
    </row>
    <row r="19" spans="5:5" x14ac:dyDescent="0.25">
      <c r="E19">
        <f t="shared" si="0"/>
        <v>0</v>
      </c>
    </row>
    <row r="20" spans="5:5" x14ac:dyDescent="0.25">
      <c r="E20">
        <f t="shared" si="0"/>
        <v>0</v>
      </c>
    </row>
    <row r="21" spans="5:5" x14ac:dyDescent="0.25">
      <c r="E2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9143-E135-424E-813E-093EC5013F89}">
  <dimension ref="A1:J21"/>
  <sheetViews>
    <sheetView workbookViewId="0">
      <selection activeCell="L11" sqref="L11"/>
    </sheetView>
  </sheetViews>
  <sheetFormatPr defaultRowHeight="15" x14ac:dyDescent="0.25"/>
  <cols>
    <col min="2" max="2" width="11.140625" bestFit="1" customWidth="1"/>
    <col min="3" max="3" width="9.28515625" bestFit="1" customWidth="1"/>
    <col min="4" max="4" width="23.140625" style="8" bestFit="1" customWidth="1"/>
    <col min="5" max="5" width="23.140625" style="8" customWidth="1"/>
    <col min="6" max="6" width="20.140625" style="8" bestFit="1" customWidth="1"/>
    <col min="7" max="7" width="20.140625" style="8" customWidth="1"/>
    <col min="8" max="8" width="10.7109375" style="8" bestFit="1" customWidth="1"/>
    <col min="10" max="10" width="17.42578125" bestFit="1" customWidth="1"/>
  </cols>
  <sheetData>
    <row r="1" spans="1:10" x14ac:dyDescent="0.25">
      <c r="A1" s="2" t="s">
        <v>24</v>
      </c>
      <c r="B1" s="2" t="s">
        <v>27</v>
      </c>
      <c r="C1" s="2" t="s">
        <v>32</v>
      </c>
      <c r="D1" s="7" t="s">
        <v>40</v>
      </c>
      <c r="E1" s="2" t="s">
        <v>33</v>
      </c>
      <c r="F1" s="7" t="s">
        <v>41</v>
      </c>
      <c r="G1" s="2" t="s">
        <v>69</v>
      </c>
      <c r="H1" s="7" t="s">
        <v>42</v>
      </c>
      <c r="I1" s="2" t="s">
        <v>43</v>
      </c>
      <c r="J1" s="2" t="s">
        <v>44</v>
      </c>
    </row>
    <row r="2" spans="1:10" x14ac:dyDescent="0.25">
      <c r="A2" t="str" cm="1">
        <f t="array" ref="A2:A7">_xlfn._xlws.FILTER(_xlfn.UNIQUE(Trade_Log!A2:A21),_xlfn.UNIQUE(Trade_Log!A2:A21)&lt;&gt;"")</f>
        <v>T001</v>
      </c>
      <c r="B2" t="str">
        <f>IF($A2="","",_xlfn.XLOOKUP($A2,Trade_Log!$A:$A,Trade_Log!$D:$D,""))</f>
        <v>Equity</v>
      </c>
      <c r="C2" t="str">
        <f>IF($A2="","",_xlfn.XLOOKUP($A2,Trade_Log!$A:$A,Trade_Log!$J:$J,""))</f>
        <v>USD</v>
      </c>
      <c r="D2" s="8">
        <f>IFERROR(_xlfn.XLOOKUP($A2,Trade_Log!A:A,Trade_Log!I:I),0)</f>
        <v>-5000</v>
      </c>
      <c r="E2" s="8">
        <f>IF($A2="","",_xlfn.XLOOKUP($A2,Trade_Log!$A:$A,Trade_Log!$K:$K,""))</f>
        <v>46027</v>
      </c>
      <c r="F2" s="8">
        <f>SUMIF(Cash_Movements!$I:$I,$A2,Cash_Movements!$E:$E)</f>
        <v>-5000</v>
      </c>
      <c r="G2" s="8">
        <f>IF($A2="","",_xlfn.MAXIFS(Cash_Movements!$C:$C,Cash_Movements!$I:$I,$A2))</f>
        <v>46027</v>
      </c>
      <c r="H2" s="8">
        <f>D2-F2</f>
        <v>0</v>
      </c>
      <c r="I2" t="str">
        <f>IF($A2="","",
IF($F2=0,"BREAK",
IF($G2&gt;$E2,"TIMING",
IF(ROUND($H2,2)=0,"PASS","BREAK"))))</f>
        <v>PASS</v>
      </c>
      <c r="J2" t="str">
        <f>IF($A2="","",
IF($I2="PASS","",
IF($I2="TIMING","Timing Difference",
IF($F2=0,"Missing Cash","Amount Difference"))))</f>
        <v/>
      </c>
    </row>
    <row r="3" spans="1:10" x14ac:dyDescent="0.25">
      <c r="A3" t="str">
        <v>T002</v>
      </c>
      <c r="B3" t="str">
        <f>IF($A3="","",_xlfn.XLOOKUP($A3,Trade_Log!$A:$A,Trade_Log!$D:$D,""))</f>
        <v>Equity</v>
      </c>
      <c r="C3" t="str">
        <f>IF($A3="","",_xlfn.XLOOKUP($A3,Trade_Log!$A:$A,Trade_Log!$J:$J,""))</f>
        <v>USD</v>
      </c>
      <c r="D3" s="8">
        <f>IFERROR(_xlfn.XLOOKUP($A3,Trade_Log!A:A,Trade_Log!I:I),0)</f>
        <v>5000</v>
      </c>
      <c r="E3" s="8">
        <f>IF($A3="","",_xlfn.XLOOKUP($A3,Trade_Log!$A:$A,Trade_Log!$K:$K,""))</f>
        <v>46027</v>
      </c>
      <c r="F3" s="8">
        <f>SUMIF(Cash_Movements!$I:$I,$A3,Cash_Movements!$E:$E)</f>
        <v>5000</v>
      </c>
      <c r="G3" s="8">
        <f>IF($A3="","",_xlfn.MAXIFS(Cash_Movements!$C:$C,Cash_Movements!$I:$I,$A3))</f>
        <v>46027</v>
      </c>
      <c r="H3" s="8">
        <f t="shared" ref="H3:H21" si="0">D3-F3</f>
        <v>0</v>
      </c>
      <c r="I3" t="str">
        <f t="shared" ref="I3:I21" si="1">IF($A3="","",
IF($F3=0,"BREAK",
IF($G3&gt;$E3,"TIMING",
IF(ROUND($H3,2)=0,"PASS","BREAK"))))</f>
        <v>PASS</v>
      </c>
      <c r="J3" t="str">
        <f t="shared" ref="J3:J21" si="2">IF($A3="","",
IF($I3="PASS","",
IF($I3="TIMING","Timing Difference",
IF($F3=0,"Missing Cash","Amount Difference"))))</f>
        <v/>
      </c>
    </row>
    <row r="4" spans="1:10" x14ac:dyDescent="0.25">
      <c r="A4" t="str">
        <v>T003</v>
      </c>
      <c r="B4" t="str">
        <f>IF($A4="","",_xlfn.XLOOKUP($A4,Trade_Log!$A:$A,Trade_Log!$D:$D,""))</f>
        <v>Bond</v>
      </c>
      <c r="C4" t="str">
        <f>IF($A4="","",_xlfn.XLOOKUP($A4,Trade_Log!$A:$A,Trade_Log!$J:$J,""))</f>
        <v>USD</v>
      </c>
      <c r="D4" s="8">
        <f>IFERROR(_xlfn.XLOOKUP($A4,Trade_Log!A:A,Trade_Log!I:I),0)</f>
        <v>-10000</v>
      </c>
      <c r="E4" s="8">
        <f>IF($A4="","",_xlfn.XLOOKUP($A4,Trade_Log!$A:$A,Trade_Log!$K:$K,""))</f>
        <v>46028</v>
      </c>
      <c r="F4" s="8">
        <f>SUMIF(Cash_Movements!$I:$I,$A4,Cash_Movements!$E:$E)</f>
        <v>-10000</v>
      </c>
      <c r="G4" s="8">
        <f>IF($A4="","",_xlfn.MAXIFS(Cash_Movements!$C:$C,Cash_Movements!$I:$I,$A4))</f>
        <v>46029</v>
      </c>
      <c r="H4" s="8">
        <f t="shared" si="0"/>
        <v>0</v>
      </c>
      <c r="I4" t="str">
        <f t="shared" si="1"/>
        <v>TIMING</v>
      </c>
      <c r="J4" t="str">
        <f t="shared" si="2"/>
        <v>Timing Difference</v>
      </c>
    </row>
    <row r="5" spans="1:10" x14ac:dyDescent="0.25">
      <c r="A5" t="str">
        <v>T004</v>
      </c>
      <c r="B5" t="str">
        <f>IF($A5="","",_xlfn.XLOOKUP($A5,Trade_Log!$A:$A,Trade_Log!$D:$D,""))</f>
        <v>Equity</v>
      </c>
      <c r="C5" t="str">
        <f>IF($A5="","",_xlfn.XLOOKUP($A5,Trade_Log!$A:$A,Trade_Log!$J:$J,""))</f>
        <v>USD</v>
      </c>
      <c r="D5" s="8">
        <f>IFERROR(_xlfn.XLOOKUP($A5,Trade_Log!A:A,Trade_Log!I:I),0)</f>
        <v>6000</v>
      </c>
      <c r="E5" s="8">
        <f>IF($A5="","",_xlfn.XLOOKUP($A5,Trade_Log!$A:$A,Trade_Log!$K:$K,""))</f>
        <v>46028</v>
      </c>
      <c r="F5" s="8">
        <f>SUMIF(Cash_Movements!$I:$I,$A5,Cash_Movements!$E:$E)</f>
        <v>5900</v>
      </c>
      <c r="G5" s="8">
        <f>IF($A5="","",_xlfn.MAXIFS(Cash_Movements!$C:$C,Cash_Movements!$I:$I,$A5))</f>
        <v>46028</v>
      </c>
      <c r="H5" s="8">
        <f t="shared" si="0"/>
        <v>100</v>
      </c>
      <c r="I5" t="str">
        <f t="shared" si="1"/>
        <v>BREAK</v>
      </c>
      <c r="J5" t="str">
        <f t="shared" si="2"/>
        <v>Amount Difference</v>
      </c>
    </row>
    <row r="6" spans="1:10" x14ac:dyDescent="0.25">
      <c r="A6" t="str">
        <v>T005</v>
      </c>
      <c r="B6" t="str">
        <f>IF($A6="","",_xlfn.XLOOKUP($A6,Trade_Log!$A:$A,Trade_Log!$D:$D,""))</f>
        <v>Equity</v>
      </c>
      <c r="C6" t="str">
        <f>IF($A6="","",_xlfn.XLOOKUP($A6,Trade_Log!$A:$A,Trade_Log!$J:$J,""))</f>
        <v>USD</v>
      </c>
      <c r="D6" s="8">
        <f>IFERROR(_xlfn.XLOOKUP($A6,Trade_Log!A:A,Trade_Log!I:I),0)</f>
        <v>-3000</v>
      </c>
      <c r="E6" s="8">
        <f>IF($A6="","",_xlfn.XLOOKUP($A6,Trade_Log!$A:$A,Trade_Log!$K:$K,""))</f>
        <v>46029</v>
      </c>
      <c r="F6" s="8">
        <f>SUMIF(Cash_Movements!$I:$I,$A6,Cash_Movements!$E:$E)</f>
        <v>0</v>
      </c>
      <c r="G6" s="8">
        <f>IF($A6="","",_xlfn.MAXIFS(Cash_Movements!$C:$C,Cash_Movements!$I:$I,$A6))</f>
        <v>0</v>
      </c>
      <c r="H6" s="8">
        <f t="shared" si="0"/>
        <v>-3000</v>
      </c>
      <c r="I6" t="str">
        <f t="shared" si="1"/>
        <v>BREAK</v>
      </c>
      <c r="J6" t="str">
        <f t="shared" si="2"/>
        <v>Missing Cash</v>
      </c>
    </row>
    <row r="7" spans="1:10" x14ac:dyDescent="0.25">
      <c r="A7" t="str">
        <v>T006</v>
      </c>
      <c r="B7" t="str">
        <f>IF($A7="","",_xlfn.XLOOKUP($A7,Trade_Log!$A:$A,Trade_Log!$D:$D,""))</f>
        <v>Bond</v>
      </c>
      <c r="C7" t="str">
        <f>IF($A7="","",_xlfn.XLOOKUP($A7,Trade_Log!$A:$A,Trade_Log!$J:$J,""))</f>
        <v>USD</v>
      </c>
      <c r="D7" s="8">
        <f>IFERROR(_xlfn.XLOOKUP($A7,Trade_Log!A:A,Trade_Log!I:I),0)</f>
        <v>4900</v>
      </c>
      <c r="E7" s="8">
        <f>IF($A7="","",_xlfn.XLOOKUP($A7,Trade_Log!$A:$A,Trade_Log!$K:$K,""))</f>
        <v>46029</v>
      </c>
      <c r="F7" s="8">
        <f>SUMIF(Cash_Movements!$I:$I,$A7,Cash_Movements!$E:$E)</f>
        <v>4800</v>
      </c>
      <c r="G7" s="8">
        <f>IF($A7="","",_xlfn.MAXIFS(Cash_Movements!$C:$C,Cash_Movements!$I:$I,$A7))</f>
        <v>46029</v>
      </c>
      <c r="H7" s="8">
        <f t="shared" si="0"/>
        <v>100</v>
      </c>
      <c r="I7" t="str">
        <f t="shared" si="1"/>
        <v>BREAK</v>
      </c>
      <c r="J7" t="str">
        <f t="shared" si="2"/>
        <v>Amount Difference</v>
      </c>
    </row>
    <row r="8" spans="1:10" x14ac:dyDescent="0.25">
      <c r="B8" t="str">
        <f>IF($A8="","",_xlfn.XLOOKUP($A8,Trade_Log!$A:$A,Trade_Log!$D:$D,""))</f>
        <v/>
      </c>
      <c r="C8" t="str">
        <f>IF($A8="","",_xlfn.XLOOKUP($A8,Trade_Log!$A:$A,Trade_Log!$J:$J,""))</f>
        <v/>
      </c>
      <c r="D8" s="8">
        <f>IFERROR(_xlfn.XLOOKUP($A8,Trade_Log!A:A,Trade_Log!I:I),0)</f>
        <v>0</v>
      </c>
      <c r="E8" s="8" t="str">
        <f>IF($A8="","",_xlfn.XLOOKUP($A8,Trade_Log!$A:$A,Trade_Log!$K:$K,""))</f>
        <v/>
      </c>
      <c r="F8" s="8">
        <f>SUMIF(Cash_Movements!$I:$I,$A8,Cash_Movements!$E:$E)</f>
        <v>0</v>
      </c>
      <c r="G8" s="8" t="str">
        <f>IF($A8="","",_xlfn.MAXIFS(Cash_Movements!$C:$C,Cash_Movements!$I:$I,$A8))</f>
        <v/>
      </c>
      <c r="H8" s="8">
        <f t="shared" si="0"/>
        <v>0</v>
      </c>
      <c r="I8" t="str">
        <f t="shared" si="1"/>
        <v/>
      </c>
      <c r="J8" t="str">
        <f t="shared" si="2"/>
        <v/>
      </c>
    </row>
    <row r="9" spans="1:10" x14ac:dyDescent="0.25">
      <c r="B9" t="str">
        <f>IF($A9="","",_xlfn.XLOOKUP($A9,Trade_Log!$A:$A,Trade_Log!$D:$D,""))</f>
        <v/>
      </c>
      <c r="C9" t="str">
        <f>IF($A9="","",_xlfn.XLOOKUP($A9,Trade_Log!$A:$A,Trade_Log!$J:$J,""))</f>
        <v/>
      </c>
      <c r="D9" s="8">
        <f>IFERROR(_xlfn.XLOOKUP($A9,Trade_Log!A:A,Trade_Log!I:I),0)</f>
        <v>0</v>
      </c>
      <c r="E9" s="8" t="str">
        <f>IF($A9="","",_xlfn.XLOOKUP($A9,Trade_Log!$A:$A,Trade_Log!$K:$K,""))</f>
        <v/>
      </c>
      <c r="F9" s="8">
        <f>SUMIF(Cash_Movements!$I:$I,$A9,Cash_Movements!$E:$E)</f>
        <v>0</v>
      </c>
      <c r="G9" s="8" t="str">
        <f>IF($A9="","",_xlfn.MAXIFS(Cash_Movements!$C:$C,Cash_Movements!$I:$I,$A9))</f>
        <v/>
      </c>
      <c r="H9" s="8">
        <f t="shared" si="0"/>
        <v>0</v>
      </c>
      <c r="I9" t="str">
        <f t="shared" si="1"/>
        <v/>
      </c>
      <c r="J9" t="str">
        <f t="shared" si="2"/>
        <v/>
      </c>
    </row>
    <row r="10" spans="1:10" x14ac:dyDescent="0.25">
      <c r="B10" t="str">
        <f>IF($A10="","",_xlfn.XLOOKUP($A10,Trade_Log!$A:$A,Trade_Log!$D:$D,""))</f>
        <v/>
      </c>
      <c r="C10" t="str">
        <f>IF($A10="","",_xlfn.XLOOKUP($A10,Trade_Log!$A:$A,Trade_Log!$J:$J,""))</f>
        <v/>
      </c>
      <c r="D10" s="8">
        <f>IFERROR(_xlfn.XLOOKUP($A10,Trade_Log!A:A,Trade_Log!I:I),0)</f>
        <v>0</v>
      </c>
      <c r="E10" s="8" t="str">
        <f>IF($A10="","",_xlfn.XLOOKUP($A10,Trade_Log!$A:$A,Trade_Log!$K:$K,""))</f>
        <v/>
      </c>
      <c r="F10" s="8">
        <f>SUMIF(Cash_Movements!$I:$I,$A10,Cash_Movements!$E:$E)</f>
        <v>0</v>
      </c>
      <c r="G10" s="8" t="str">
        <f>IF($A10="","",_xlfn.MAXIFS(Cash_Movements!$C:$C,Cash_Movements!$I:$I,$A10))</f>
        <v/>
      </c>
      <c r="H10" s="8">
        <f t="shared" si="0"/>
        <v>0</v>
      </c>
      <c r="I10" t="str">
        <f t="shared" si="1"/>
        <v/>
      </c>
      <c r="J10" t="str">
        <f t="shared" si="2"/>
        <v/>
      </c>
    </row>
    <row r="11" spans="1:10" x14ac:dyDescent="0.25">
      <c r="B11" t="str">
        <f>IF($A11="","",_xlfn.XLOOKUP($A11,Trade_Log!$A:$A,Trade_Log!$D:$D,""))</f>
        <v/>
      </c>
      <c r="C11" t="str">
        <f>IF($A11="","",_xlfn.XLOOKUP($A11,Trade_Log!$A:$A,Trade_Log!$J:$J,""))</f>
        <v/>
      </c>
      <c r="D11" s="8">
        <f>IFERROR(_xlfn.XLOOKUP($A11,Trade_Log!A:A,Trade_Log!I:I),0)</f>
        <v>0</v>
      </c>
      <c r="E11" s="8" t="str">
        <f>IF($A11="","",_xlfn.XLOOKUP($A11,Trade_Log!$A:$A,Trade_Log!$K:$K,""))</f>
        <v/>
      </c>
      <c r="F11" s="8">
        <f>SUMIF(Cash_Movements!$I:$I,$A11,Cash_Movements!$E:$E)</f>
        <v>0</v>
      </c>
      <c r="G11" s="8" t="str">
        <f>IF($A11="","",_xlfn.MAXIFS(Cash_Movements!$C:$C,Cash_Movements!$I:$I,$A11))</f>
        <v/>
      </c>
      <c r="H11" s="8">
        <f t="shared" si="0"/>
        <v>0</v>
      </c>
      <c r="I11" t="str">
        <f t="shared" si="1"/>
        <v/>
      </c>
      <c r="J11" t="str">
        <f t="shared" si="2"/>
        <v/>
      </c>
    </row>
    <row r="12" spans="1:10" x14ac:dyDescent="0.25">
      <c r="B12" t="str">
        <f>IF($A12="","",_xlfn.XLOOKUP($A12,Trade_Log!$A:$A,Trade_Log!$D:$D,""))</f>
        <v/>
      </c>
      <c r="C12" t="str">
        <f>IF($A12="","",_xlfn.XLOOKUP($A12,Trade_Log!$A:$A,Trade_Log!$J:$J,""))</f>
        <v/>
      </c>
      <c r="D12" s="8">
        <f>IFERROR(_xlfn.XLOOKUP($A12,Trade_Log!A:A,Trade_Log!I:I),0)</f>
        <v>0</v>
      </c>
      <c r="E12" s="8" t="str">
        <f>IF($A12="","",_xlfn.XLOOKUP($A12,Trade_Log!$A:$A,Trade_Log!$K:$K,""))</f>
        <v/>
      </c>
      <c r="F12" s="8">
        <f>SUMIF(Cash_Movements!$I:$I,$A12,Cash_Movements!$E:$E)</f>
        <v>0</v>
      </c>
      <c r="G12" s="8" t="str">
        <f>IF($A12="","",_xlfn.MAXIFS(Cash_Movements!$C:$C,Cash_Movements!$I:$I,$A12))</f>
        <v/>
      </c>
      <c r="H12" s="8">
        <f t="shared" si="0"/>
        <v>0</v>
      </c>
      <c r="I12" t="str">
        <f t="shared" si="1"/>
        <v/>
      </c>
      <c r="J12" t="str">
        <f t="shared" si="2"/>
        <v/>
      </c>
    </row>
    <row r="13" spans="1:10" x14ac:dyDescent="0.25">
      <c r="B13" t="str">
        <f>IF($A13="","",_xlfn.XLOOKUP($A13,Trade_Log!$A:$A,Trade_Log!$D:$D,""))</f>
        <v/>
      </c>
      <c r="C13" t="str">
        <f>IF($A13="","",_xlfn.XLOOKUP($A13,Trade_Log!$A:$A,Trade_Log!$J:$J,""))</f>
        <v/>
      </c>
      <c r="D13" s="8">
        <f>IFERROR(_xlfn.XLOOKUP($A13,Trade_Log!A:A,Trade_Log!I:I),0)</f>
        <v>0</v>
      </c>
      <c r="E13" s="8" t="str">
        <f>IF($A13="","",_xlfn.XLOOKUP($A13,Trade_Log!$A:$A,Trade_Log!$K:$K,""))</f>
        <v/>
      </c>
      <c r="F13" s="8">
        <f>SUMIF(Cash_Movements!$I:$I,$A13,Cash_Movements!$E:$E)</f>
        <v>0</v>
      </c>
      <c r="G13" s="8" t="str">
        <f>IF($A13="","",_xlfn.MAXIFS(Cash_Movements!$C:$C,Cash_Movements!$I:$I,$A13))</f>
        <v/>
      </c>
      <c r="H13" s="8">
        <f t="shared" si="0"/>
        <v>0</v>
      </c>
      <c r="I13" t="str">
        <f t="shared" si="1"/>
        <v/>
      </c>
      <c r="J13" t="str">
        <f t="shared" si="2"/>
        <v/>
      </c>
    </row>
    <row r="14" spans="1:10" x14ac:dyDescent="0.25">
      <c r="B14" t="str">
        <f>IF($A14="","",_xlfn.XLOOKUP($A14,Trade_Log!$A:$A,Trade_Log!$D:$D,""))</f>
        <v/>
      </c>
      <c r="C14" t="str">
        <f>IF($A14="","",_xlfn.XLOOKUP($A14,Trade_Log!$A:$A,Trade_Log!$J:$J,""))</f>
        <v/>
      </c>
      <c r="D14" s="8">
        <f>IFERROR(_xlfn.XLOOKUP($A14,Trade_Log!A:A,Trade_Log!I:I),0)</f>
        <v>0</v>
      </c>
      <c r="E14" s="8" t="str">
        <f>IF($A14="","",_xlfn.XLOOKUP($A14,Trade_Log!$A:$A,Trade_Log!$K:$K,""))</f>
        <v/>
      </c>
      <c r="F14" s="8">
        <f>SUMIF(Cash_Movements!$I:$I,$A14,Cash_Movements!$E:$E)</f>
        <v>0</v>
      </c>
      <c r="G14" s="8" t="str">
        <f>IF($A14="","",_xlfn.MAXIFS(Cash_Movements!$C:$C,Cash_Movements!$I:$I,$A14))</f>
        <v/>
      </c>
      <c r="H14" s="8">
        <f t="shared" si="0"/>
        <v>0</v>
      </c>
      <c r="I14" t="str">
        <f t="shared" si="1"/>
        <v/>
      </c>
      <c r="J14" t="str">
        <f t="shared" si="2"/>
        <v/>
      </c>
    </row>
    <row r="15" spans="1:10" x14ac:dyDescent="0.25">
      <c r="B15" t="str">
        <f>IF($A15="","",_xlfn.XLOOKUP($A15,Trade_Log!$A:$A,Trade_Log!$D:$D,""))</f>
        <v/>
      </c>
      <c r="C15" t="str">
        <f>IF($A15="","",_xlfn.XLOOKUP($A15,Trade_Log!$A:$A,Trade_Log!$J:$J,""))</f>
        <v/>
      </c>
      <c r="D15" s="8">
        <f>IFERROR(_xlfn.XLOOKUP($A15,Trade_Log!A:A,Trade_Log!I:I),0)</f>
        <v>0</v>
      </c>
      <c r="E15" s="8" t="str">
        <f>IF($A15="","",_xlfn.XLOOKUP($A15,Trade_Log!$A:$A,Trade_Log!$K:$K,""))</f>
        <v/>
      </c>
      <c r="F15" s="8">
        <f>SUMIF(Cash_Movements!$I:$I,$A15,Cash_Movements!$E:$E)</f>
        <v>0</v>
      </c>
      <c r="G15" s="8" t="str">
        <f>IF($A15="","",_xlfn.MAXIFS(Cash_Movements!$C:$C,Cash_Movements!$I:$I,$A15))</f>
        <v/>
      </c>
      <c r="H15" s="8">
        <f t="shared" si="0"/>
        <v>0</v>
      </c>
      <c r="I15" t="str">
        <f t="shared" si="1"/>
        <v/>
      </c>
      <c r="J15" t="str">
        <f t="shared" si="2"/>
        <v/>
      </c>
    </row>
    <row r="16" spans="1:10" x14ac:dyDescent="0.25">
      <c r="B16" t="str">
        <f>IF($A16="","",_xlfn.XLOOKUP($A16,Trade_Log!$A:$A,Trade_Log!$D:$D,""))</f>
        <v/>
      </c>
      <c r="C16" t="str">
        <f>IF($A16="","",_xlfn.XLOOKUP($A16,Trade_Log!$A:$A,Trade_Log!$J:$J,""))</f>
        <v/>
      </c>
      <c r="D16" s="8">
        <f>IFERROR(_xlfn.XLOOKUP($A16,Trade_Log!A:A,Trade_Log!I:I),0)</f>
        <v>0</v>
      </c>
      <c r="E16" s="8" t="str">
        <f>IF($A16="","",_xlfn.XLOOKUP($A16,Trade_Log!$A:$A,Trade_Log!$K:$K,""))</f>
        <v/>
      </c>
      <c r="F16" s="8">
        <f>SUMIF(Cash_Movements!$I:$I,$A16,Cash_Movements!$E:$E)</f>
        <v>0</v>
      </c>
      <c r="G16" s="8" t="str">
        <f>IF($A16="","",_xlfn.MAXIFS(Cash_Movements!$C:$C,Cash_Movements!$I:$I,$A16))</f>
        <v/>
      </c>
      <c r="H16" s="8">
        <f t="shared" si="0"/>
        <v>0</v>
      </c>
      <c r="I16" t="str">
        <f t="shared" si="1"/>
        <v/>
      </c>
      <c r="J16" t="str">
        <f t="shared" si="2"/>
        <v/>
      </c>
    </row>
    <row r="17" spans="2:10" x14ac:dyDescent="0.25">
      <c r="B17" t="str">
        <f>IF($A17="","",_xlfn.XLOOKUP($A17,Trade_Log!$A:$A,Trade_Log!$D:$D,""))</f>
        <v/>
      </c>
      <c r="C17" t="str">
        <f>IF($A17="","",_xlfn.XLOOKUP($A17,Trade_Log!$A:$A,Trade_Log!$J:$J,""))</f>
        <v/>
      </c>
      <c r="D17" s="8">
        <f>IFERROR(_xlfn.XLOOKUP($A17,Trade_Log!A:A,Trade_Log!I:I),0)</f>
        <v>0</v>
      </c>
      <c r="E17" s="8" t="str">
        <f>IF($A17="","",_xlfn.XLOOKUP($A17,Trade_Log!$A:$A,Trade_Log!$K:$K,""))</f>
        <v/>
      </c>
      <c r="F17" s="8">
        <f>SUMIF(Cash_Movements!$I:$I,$A17,Cash_Movements!$E:$E)</f>
        <v>0</v>
      </c>
      <c r="G17" s="8" t="str">
        <f>IF($A17="","",_xlfn.MAXIFS(Cash_Movements!$C:$C,Cash_Movements!$I:$I,$A17))</f>
        <v/>
      </c>
      <c r="H17" s="8">
        <f t="shared" si="0"/>
        <v>0</v>
      </c>
      <c r="I17" t="str">
        <f t="shared" si="1"/>
        <v/>
      </c>
      <c r="J17" t="str">
        <f t="shared" si="2"/>
        <v/>
      </c>
    </row>
    <row r="18" spans="2:10" x14ac:dyDescent="0.25">
      <c r="B18" t="str">
        <f>IF($A18="","",_xlfn.XLOOKUP($A18,Trade_Log!$A:$A,Trade_Log!$D:$D,""))</f>
        <v/>
      </c>
      <c r="C18" t="str">
        <f>IF($A18="","",_xlfn.XLOOKUP($A18,Trade_Log!$A:$A,Trade_Log!$J:$J,""))</f>
        <v/>
      </c>
      <c r="D18" s="8">
        <f>IFERROR(_xlfn.XLOOKUP($A18,Trade_Log!A:A,Trade_Log!I:I),0)</f>
        <v>0</v>
      </c>
      <c r="E18" s="8" t="str">
        <f>IF($A18="","",_xlfn.XLOOKUP($A18,Trade_Log!$A:$A,Trade_Log!$K:$K,""))</f>
        <v/>
      </c>
      <c r="F18" s="8">
        <f>SUMIF(Cash_Movements!$I:$I,$A18,Cash_Movements!$E:$E)</f>
        <v>0</v>
      </c>
      <c r="G18" s="8" t="str">
        <f>IF($A18="","",_xlfn.MAXIFS(Cash_Movements!$C:$C,Cash_Movements!$I:$I,$A18))</f>
        <v/>
      </c>
      <c r="H18" s="8">
        <f t="shared" si="0"/>
        <v>0</v>
      </c>
      <c r="I18" t="str">
        <f t="shared" si="1"/>
        <v/>
      </c>
      <c r="J18" t="str">
        <f t="shared" si="2"/>
        <v/>
      </c>
    </row>
    <row r="19" spans="2:10" x14ac:dyDescent="0.25">
      <c r="B19" t="str">
        <f>IF($A19="","",_xlfn.XLOOKUP($A19,Trade_Log!$A:$A,Trade_Log!$D:$D,""))</f>
        <v/>
      </c>
      <c r="C19" t="str">
        <f>IF($A19="","",_xlfn.XLOOKUP($A19,Trade_Log!$A:$A,Trade_Log!$J:$J,""))</f>
        <v/>
      </c>
      <c r="D19" s="8">
        <f>IFERROR(_xlfn.XLOOKUP($A19,Trade_Log!A:A,Trade_Log!I:I),0)</f>
        <v>0</v>
      </c>
      <c r="E19" s="8" t="str">
        <f>IF($A19="","",_xlfn.XLOOKUP($A19,Trade_Log!$A:$A,Trade_Log!$K:$K,""))</f>
        <v/>
      </c>
      <c r="F19" s="8">
        <f>SUMIF(Cash_Movements!$I:$I,$A19,Cash_Movements!$E:$E)</f>
        <v>0</v>
      </c>
      <c r="G19" s="8" t="str">
        <f>IF($A19="","",_xlfn.MAXIFS(Cash_Movements!$C:$C,Cash_Movements!$I:$I,$A19))</f>
        <v/>
      </c>
      <c r="H19" s="8">
        <f t="shared" si="0"/>
        <v>0</v>
      </c>
      <c r="I19" t="str">
        <f t="shared" si="1"/>
        <v/>
      </c>
      <c r="J19" t="str">
        <f t="shared" si="2"/>
        <v/>
      </c>
    </row>
    <row r="20" spans="2:10" x14ac:dyDescent="0.25">
      <c r="B20" t="str">
        <f>IF($A20="","",_xlfn.XLOOKUP($A20,Trade_Log!$A:$A,Trade_Log!$D:$D,""))</f>
        <v/>
      </c>
      <c r="C20" t="str">
        <f>IF($A20="","",_xlfn.XLOOKUP($A20,Trade_Log!$A:$A,Trade_Log!$J:$J,""))</f>
        <v/>
      </c>
      <c r="D20" s="8">
        <f>IFERROR(_xlfn.XLOOKUP($A20,Trade_Log!A:A,Trade_Log!I:I),0)</f>
        <v>0</v>
      </c>
      <c r="E20" s="8" t="str">
        <f>IF($A20="","",_xlfn.XLOOKUP($A20,Trade_Log!$A:$A,Trade_Log!$K:$K,""))</f>
        <v/>
      </c>
      <c r="F20" s="8">
        <f>SUMIF(Cash_Movements!$I:$I,$A20,Cash_Movements!$E:$E)</f>
        <v>0</v>
      </c>
      <c r="G20" s="8" t="str">
        <f>IF($A20="","",_xlfn.MAXIFS(Cash_Movements!$C:$C,Cash_Movements!$I:$I,$A20))</f>
        <v/>
      </c>
      <c r="H20" s="8">
        <f t="shared" si="0"/>
        <v>0</v>
      </c>
      <c r="I20" t="str">
        <f t="shared" si="1"/>
        <v/>
      </c>
      <c r="J20" t="str">
        <f t="shared" si="2"/>
        <v/>
      </c>
    </row>
    <row r="21" spans="2:10" x14ac:dyDescent="0.25">
      <c r="B21" t="str">
        <f>IF($A21="","",_xlfn.XLOOKUP($A21,Trade_Log!$A:$A,Trade_Log!$D:$D,""))</f>
        <v/>
      </c>
      <c r="C21" t="str">
        <f>IF($A21="","",_xlfn.XLOOKUP($A21,Trade_Log!$A:$A,Trade_Log!$J:$J,""))</f>
        <v/>
      </c>
      <c r="D21" s="8">
        <f>IFERROR(_xlfn.XLOOKUP($A21,Trade_Log!A:A,Trade_Log!I:I),0)</f>
        <v>0</v>
      </c>
      <c r="E21" s="8" t="str">
        <f>IF($A21="","",_xlfn.XLOOKUP($A21,Trade_Log!$A:$A,Trade_Log!$K:$K,""))</f>
        <v/>
      </c>
      <c r="F21" s="8">
        <f>SUMIF(Cash_Movements!$I:$I,$A21,Cash_Movements!$E:$E)</f>
        <v>0</v>
      </c>
      <c r="G21" s="8" t="str">
        <f>IF($A21="","",_xlfn.MAXIFS(Cash_Movements!$C:$C,Cash_Movements!$I:$I,$A21))</f>
        <v/>
      </c>
      <c r="H21" s="8">
        <f t="shared" si="0"/>
        <v>0</v>
      </c>
      <c r="I21" t="str">
        <f t="shared" si="1"/>
        <v/>
      </c>
      <c r="J21" t="str">
        <f t="shared" si="2"/>
        <v/>
      </c>
    </row>
  </sheetData>
  <conditionalFormatting sqref="I1:I1048576">
    <cfRule type="cellIs" dxfId="3" priority="3" operator="equal">
      <formula>"PASS"</formula>
    </cfRule>
    <cfRule type="cellIs" dxfId="4" priority="2" operator="equal">
      <formula>"TIMING"</formula>
    </cfRule>
    <cfRule type="cellIs" dxfId="2" priority="1" operator="equal">
      <formula>"BREAK"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D7AC-95C6-443C-9C2B-BB36F14807B2}">
  <dimension ref="A1:F2"/>
  <sheetViews>
    <sheetView workbookViewId="0">
      <selection activeCell="E10" sqref="E10"/>
    </sheetView>
  </sheetViews>
  <sheetFormatPr defaultRowHeight="15" x14ac:dyDescent="0.25"/>
  <cols>
    <col min="1" max="1" width="13.140625" style="4" bestFit="1" customWidth="1"/>
    <col min="2" max="2" width="12.28515625" style="6" bestFit="1" customWidth="1"/>
    <col min="3" max="3" width="22.7109375" style="6" bestFit="1" customWidth="1"/>
    <col min="4" max="4" width="20.140625" style="6" bestFit="1" customWidth="1"/>
    <col min="5" max="5" width="21.85546875" style="8" bestFit="1" customWidth="1"/>
    <col min="6" max="6" width="14.140625" bestFit="1" customWidth="1"/>
  </cols>
  <sheetData>
    <row r="1" spans="1:6" x14ac:dyDescent="0.25">
      <c r="A1" s="3" t="s">
        <v>45</v>
      </c>
      <c r="B1" s="5" t="s">
        <v>46</v>
      </c>
      <c r="C1" s="5" t="s">
        <v>47</v>
      </c>
      <c r="D1" s="5" t="s">
        <v>48</v>
      </c>
      <c r="E1" s="7" t="s">
        <v>49</v>
      </c>
      <c r="F1" s="2" t="s">
        <v>50</v>
      </c>
    </row>
    <row r="2" spans="1:6" x14ac:dyDescent="0.25">
      <c r="A2" s="4">
        <f ca="1">TODAY()</f>
        <v>46050</v>
      </c>
      <c r="B2" s="6">
        <f>COUNTA(Trade_Log!A2:A21)</f>
        <v>6</v>
      </c>
      <c r="C2" s="6">
        <f>COUNTA(Cash_Movements!A2:A21)</f>
        <v>5</v>
      </c>
      <c r="D2" s="6">
        <f>COUNTIF(Cash_Reconciliation!I2:I21,"TIMING")+COUNTIF(Cash_Reconciliation!I2:I21,"BREAK")</f>
        <v>4</v>
      </c>
      <c r="E2" s="8" cm="1">
        <f t="array" ref="E2">SUMPRODUCT(ABS(Cash_Reconciliation!H2:H21)*(Cash_Reconciliation!I2:I21&lt;&gt;"PASS"))</f>
        <v>3200</v>
      </c>
      <c r="F2" t="str">
        <f>IF(COUNTIF(Cash_Reconciliation!I2:I21,"BREAK")&gt;0,"Red",
IF(COUNTIF(Cash_Reconciliation!I2:I21,"TIMING")&gt;0,"Amber","Green"))</f>
        <v>Red</v>
      </c>
    </row>
  </sheetData>
  <conditionalFormatting sqref="F2">
    <cfRule type="cellIs" dxfId="8" priority="3" operator="equal">
      <formula>"Red"</formula>
    </cfRule>
    <cfRule type="cellIs" dxfId="9" priority="2" operator="equal">
      <formula>"Amber"</formula>
    </cfRule>
    <cfRule type="cellIs" dxfId="7" priority="1" operator="equal">
      <formula>"Green"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Lifecycle_Overview</vt:lpstr>
      <vt:lpstr>Trade_Log</vt:lpstr>
      <vt:lpstr>Cash_Movements</vt:lpstr>
      <vt:lpstr>Cash_Reconciliation</vt:lpstr>
      <vt:lpstr>Control_Summary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Fraga</dc:creator>
  <cp:lastModifiedBy>Jesse Fraga</cp:lastModifiedBy>
  <dcterms:created xsi:type="dcterms:W3CDTF">2026-01-29T01:54:44Z</dcterms:created>
  <dcterms:modified xsi:type="dcterms:W3CDTF">2026-01-29T04:20:54Z</dcterms:modified>
</cp:coreProperties>
</file>